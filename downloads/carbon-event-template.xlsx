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F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2D5B3F"/>
      <sz val="16"/>
    </font>
    <font>
      <i val="1"/>
      <color rgb="00888888"/>
      <sz val="10"/>
    </font>
    <font>
      <b val="1"/>
      <color rgb="00FFFFFF"/>
      <sz val="11"/>
    </font>
    <font>
      <i val="1"/>
      <color rgb="00888888"/>
      <sz val="9"/>
    </font>
    <font>
      <b val="1"/>
      <sz val="10"/>
    </font>
    <font>
      <b val="1"/>
    </font>
    <font>
      <b val="1"/>
      <sz val="11"/>
    </font>
    <font>
      <b val="1"/>
      <color rgb="00FFFFFF"/>
      <sz val="12"/>
    </font>
    <font>
      <b val="1"/>
      <color rgb="002D5B3F"/>
      <sz val="14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E8B859"/>
        <bgColor rgb="00E8B859"/>
      </patternFill>
    </fill>
    <fill>
      <patternFill patternType="solid">
        <fgColor rgb="00FFFBF5"/>
        <bgColor rgb="00FFFBF5"/>
      </patternFill>
    </fill>
    <fill>
      <patternFill patternType="solid">
        <fgColor rgb="00F0F4F1"/>
        <bgColor rgb="00F0F4F1"/>
      </patternFill>
    </fill>
    <fill>
      <patternFill patternType="solid">
        <fgColor rgb="00E8ECEA"/>
        <bgColor rgb="00E8ECEA"/>
      </patternFill>
    </fill>
    <fill>
      <patternFill patternType="solid">
        <fgColor rgb="002D5B3F"/>
        <bgColor rgb="002D5B3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7" fillId="4" borderId="0" pivotButton="0" quotePrefix="0" xfId="0"/>
    <xf numFmtId="0" fontId="0" fillId="4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🌍 Event Carbon Footprint Calculator</t>
        </is>
      </c>
    </row>
    <row r="2">
      <c r="A2" s="2" t="inlineStr">
        <is>
          <t>Enter your event details below. All calculations happen automatically.</t>
        </is>
      </c>
    </row>
    <row r="4">
      <c r="A4" s="3" t="inlineStr">
        <is>
          <t>EVENT OVERVIEW</t>
        </is>
      </c>
    </row>
    <row r="5">
      <c r="A5" t="inlineStr">
        <is>
          <t>Number of Attendees</t>
        </is>
      </c>
      <c r="B5" s="4" t="n">
        <v>100</v>
      </c>
      <c r="C5" s="5" t="inlineStr">
        <is>
          <t>(edit this)</t>
        </is>
      </c>
    </row>
    <row r="7">
      <c r="A7" s="3" t="inlineStr">
        <is>
          <t>MEALS &amp; REFRESHMENTS</t>
        </is>
      </c>
    </row>
    <row r="8">
      <c r="A8" s="6" t="inlineStr">
        <is>
          <t>Category</t>
        </is>
      </c>
      <c r="B8" s="6" t="inlineStr">
        <is>
          <t>Count</t>
        </is>
      </c>
      <c r="C8" s="6" t="inlineStr">
        <is>
          <t>Factor (kg CO2e)</t>
        </is>
      </c>
      <c r="D8" s="6" t="inlineStr">
        <is>
          <t>Total (kg CO2e)</t>
        </is>
      </c>
    </row>
    <row r="9">
      <c r="A9" s="7" t="inlineStr">
        <is>
          <t>Vegan</t>
        </is>
      </c>
      <c r="B9" s="8" t="n">
        <v>0</v>
      </c>
      <c r="C9" s="7" t="n">
        <v>0.9</v>
      </c>
      <c r="D9" s="7">
        <f>B9*C9</f>
        <v/>
      </c>
    </row>
    <row r="10">
      <c r="A10" s="7" t="inlineStr">
        <is>
          <t>Vegetarian</t>
        </is>
      </c>
      <c r="B10" s="8" t="n">
        <v>0</v>
      </c>
      <c r="C10" s="7" t="n">
        <v>1.2</v>
      </c>
      <c r="D10" s="7">
        <f>B10*C10</f>
        <v/>
      </c>
    </row>
    <row r="11">
      <c r="A11" s="7" t="inlineStr">
        <is>
          <t>White Meat</t>
        </is>
      </c>
      <c r="B11" s="8" t="n">
        <v>0</v>
      </c>
      <c r="C11" s="7" t="n">
        <v>1.5</v>
      </c>
      <c r="D11" s="7">
        <f>B11*C11</f>
        <v/>
      </c>
    </row>
    <row r="12">
      <c r="A12" s="7" t="inlineStr">
        <is>
          <t>Red Meat</t>
        </is>
      </c>
      <c r="B12" s="8" t="n">
        <v>0</v>
      </c>
      <c r="C12" s="7" t="n">
        <v>2.6</v>
      </c>
      <c r="D12" s="7">
        <f>B12*C12</f>
        <v/>
      </c>
    </row>
    <row r="13">
      <c r="A13" s="7" t="inlineStr">
        <is>
          <t>Pescetarian</t>
        </is>
      </c>
      <c r="B13" s="8" t="n">
        <v>0</v>
      </c>
      <c r="C13" s="7" t="n">
        <v>1.4</v>
      </c>
      <c r="D13" s="7">
        <f>B13*C13</f>
        <v/>
      </c>
    </row>
    <row r="14">
      <c r="A14" s="7" t="inlineStr">
        <is>
          <t>Coffee/Tea Breaks</t>
        </is>
      </c>
      <c r="B14" s="8" t="n">
        <v>0</v>
      </c>
      <c r="C14" s="7" t="n">
        <v>0.25</v>
      </c>
      <c r="D14" s="7">
        <f>B14*C14</f>
        <v/>
      </c>
    </row>
    <row r="16">
      <c r="A16" s="9" t="inlineStr">
        <is>
          <t>TOTAL MEALS</t>
        </is>
      </c>
      <c r="D16" s="10">
        <f>SUM(D9:D13,D14)</f>
        <v/>
      </c>
    </row>
    <row r="18">
      <c r="A18" s="3" t="inlineStr">
        <is>
          <t>TRANSPORTATION</t>
        </is>
      </c>
    </row>
    <row r="19">
      <c r="A19" s="6" t="inlineStr">
        <is>
          <t>People</t>
        </is>
      </c>
      <c r="B19" s="6" t="inlineStr">
        <is>
          <t>Distance (km)</t>
        </is>
      </c>
      <c r="C19" s="6" t="inlineStr">
        <is>
          <t>Mode</t>
        </is>
      </c>
      <c r="D19" s="6" t="inlineStr">
        <is>
          <t>Factor (g CO2e/km)</t>
        </is>
      </c>
      <c r="E19" s="6" t="inlineStr">
        <is>
          <t>Total (kg CO2e)</t>
        </is>
      </c>
    </row>
    <row r="20">
      <c r="A20" s="8" t="n">
        <v>1</v>
      </c>
      <c r="B20" s="8" t="n">
        <v>0</v>
      </c>
      <c r="C20" s="8" t="inlineStr"/>
      <c r="D20" s="8" t="n">
        <v>0</v>
      </c>
      <c r="E20" s="7">
        <f>IF(B20=0,0,A20*B20*D20/1000)</f>
        <v/>
      </c>
    </row>
    <row r="21">
      <c r="A21" s="8" t="n">
        <v>1</v>
      </c>
      <c r="B21" s="8" t="n">
        <v>0</v>
      </c>
      <c r="C21" s="8" t="inlineStr"/>
      <c r="D21" s="8" t="n">
        <v>0</v>
      </c>
      <c r="E21" s="7">
        <f>IF(B21=0,0,A21*B21*D21/1000)</f>
        <v/>
      </c>
    </row>
    <row r="22">
      <c r="A22" s="8" t="n">
        <v>1</v>
      </c>
      <c r="B22" s="8" t="n">
        <v>0</v>
      </c>
      <c r="C22" s="8" t="inlineStr"/>
      <c r="D22" s="8" t="n">
        <v>0</v>
      </c>
      <c r="E22" s="7">
        <f>IF(B22=0,0,A22*B22*D22/1000)</f>
        <v/>
      </c>
    </row>
    <row r="23">
      <c r="A23" s="8" t="n">
        <v>1</v>
      </c>
      <c r="B23" s="8" t="n">
        <v>0</v>
      </c>
      <c r="C23" s="8" t="inlineStr"/>
      <c r="D23" s="8" t="n">
        <v>0</v>
      </c>
      <c r="E23" s="7">
        <f>IF(B23=0,0,A23*B23*D23/1000)</f>
        <v/>
      </c>
    </row>
    <row r="24">
      <c r="A24" s="8" t="n">
        <v>1</v>
      </c>
      <c r="B24" s="8" t="n">
        <v>0</v>
      </c>
      <c r="C24" s="8" t="inlineStr"/>
      <c r="D24" s="8" t="n">
        <v>0</v>
      </c>
      <c r="E24" s="7">
        <f>IF(B24=0,0,A24*B24*D24/1000)</f>
        <v/>
      </c>
    </row>
    <row r="26">
      <c r="A26" s="9" t="inlineStr">
        <is>
          <t>TOTAL TRANSPORT</t>
        </is>
      </c>
      <c r="E26" s="10">
        <f>SUM(E20:E24)</f>
        <v/>
      </c>
    </row>
    <row r="29">
      <c r="A29" s="11" t="inlineStr">
        <is>
          <t>SUMMARY</t>
        </is>
      </c>
    </row>
    <row r="30">
      <c r="A30" t="inlineStr">
        <is>
          <t>Total Emissions (kg CO2e)</t>
        </is>
      </c>
      <c r="B30" s="12">
        <f>D16+E26</f>
        <v/>
      </c>
    </row>
    <row r="31">
      <c r="A31" t="inlineStr">
        <is>
          <t>Per Attendee (kg CO2e)</t>
        </is>
      </c>
      <c r="B31" s="12">
        <f>IF(B4=0,0,B30/B4)</f>
        <v/>
      </c>
    </row>
    <row r="32">
      <c r="A32" t="inlineStr">
        <is>
          <t>Meals Impact (kg CO2e)</t>
        </is>
      </c>
      <c r="B32" s="13">
        <f>D16</f>
        <v/>
      </c>
    </row>
    <row r="33">
      <c r="A33" t="inlineStr">
        <is>
          <t>Transport Impact (kg CO2e)</t>
        </is>
      </c>
      <c r="B33" s="13">
        <f>E26</f>
        <v/>
      </c>
    </row>
  </sheetData>
  <mergeCells count="6">
    <mergeCell ref="A1:D1"/>
    <mergeCell ref="A4:D4"/>
    <mergeCell ref="A29:D29"/>
    <mergeCell ref="A7:D7"/>
    <mergeCell ref="A2:D2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4" t="inlineStr">
        <is>
          <t>EMISSIONS FACTORS</t>
        </is>
      </c>
    </row>
    <row r="3">
      <c r="A3" s="3" t="inlineStr">
        <is>
          <t>MEALS (kg CO2e per meal)</t>
        </is>
      </c>
    </row>
    <row r="4">
      <c r="A4" t="inlineStr">
        <is>
          <t>Vegan</t>
        </is>
      </c>
      <c r="B4" t="n">
        <v>0.9</v>
      </c>
    </row>
    <row r="5">
      <c r="A5" t="inlineStr">
        <is>
          <t>Vegetarian</t>
        </is>
      </c>
      <c r="B5" t="n">
        <v>1.2</v>
      </c>
    </row>
    <row r="6">
      <c r="A6" t="inlineStr">
        <is>
          <t>White Meat</t>
        </is>
      </c>
      <c r="B6" t="n">
        <v>1.5</v>
      </c>
    </row>
    <row r="7">
      <c r="A7" t="inlineStr">
        <is>
          <t>Red Meat</t>
        </is>
      </c>
      <c r="B7" t="n">
        <v>2.6</v>
      </c>
    </row>
    <row r="8">
      <c r="A8" t="inlineStr">
        <is>
          <t>Pescetarian</t>
        </is>
      </c>
      <c r="B8" t="n">
        <v>1.4</v>
      </c>
    </row>
    <row r="9">
      <c r="A9" t="inlineStr">
        <is>
          <t>Coffee/Tea</t>
        </is>
      </c>
      <c r="B9" t="n">
        <v>0.25</v>
      </c>
    </row>
    <row r="11">
      <c r="A11" s="3" t="inlineStr">
        <is>
          <t>TRANSPORT (g CO2e per km)</t>
        </is>
      </c>
    </row>
    <row r="12">
      <c r="A12" t="inlineStr">
        <is>
          <t>Walking</t>
        </is>
      </c>
      <c r="B12" t="n">
        <v>0</v>
      </c>
    </row>
    <row r="13">
      <c r="A13" t="inlineStr">
        <is>
          <t>Bicycle</t>
        </is>
      </c>
      <c r="B13" t="n">
        <v>0</v>
      </c>
    </row>
    <row r="14">
      <c r="A14" t="inlineStr">
        <is>
          <t>Car (solo)</t>
        </is>
      </c>
      <c r="B14" t="n">
        <v>170</v>
      </c>
    </row>
    <row r="15">
      <c r="A15" t="inlineStr">
        <is>
          <t>Carpool</t>
        </is>
      </c>
      <c r="B15" t="n">
        <v>85</v>
      </c>
    </row>
    <row r="16">
      <c r="A16" t="inlineStr">
        <is>
          <t>Train (TGV)</t>
        </is>
      </c>
      <c r="B16" t="n">
        <v>12</v>
      </c>
    </row>
    <row r="17">
      <c r="A17" t="inlineStr">
        <is>
          <t>Flight (short &lt;1000km)</t>
        </is>
      </c>
      <c r="B17" t="n">
        <v>154</v>
      </c>
    </row>
    <row r="18">
      <c r="A18" t="inlineStr">
        <is>
          <t>Flight (medium 1000-3000km)</t>
        </is>
      </c>
      <c r="B18" t="n">
        <v>130</v>
      </c>
    </row>
    <row r="19">
      <c r="A19" t="inlineStr">
        <is>
          <t>Flight (long &gt;3000km)</t>
        </is>
      </c>
      <c r="B19" t="n">
        <v>115</v>
      </c>
    </row>
    <row r="22">
      <c r="A22" s="15" t="inlineStr">
        <is>
          <t>SOURCES</t>
        </is>
      </c>
    </row>
    <row r="23">
      <c r="A23" s="16" t="inlineStr">
        <is>
          <t>University of Oxford - beef emissions: 99.48 kg CO2e/kg</t>
        </is>
      </c>
    </row>
    <row r="24">
      <c r="A24" s="16" t="inlineStr">
        <is>
          <t>Scarborough et al. - UK dietary patterns study</t>
        </is>
      </c>
    </row>
    <row r="25">
      <c r="A25" s="16" t="inlineStr">
        <is>
          <t>Polish study (Frontiers Nutrition) - dietary carbon footprints</t>
        </is>
      </c>
    </row>
    <row r="26">
      <c r="A26" s="16" t="inlineStr">
        <is>
          <t>University College London - coffee carbon footprint</t>
        </is>
      </c>
    </row>
    <row r="27">
      <c r="A27" s="16" t="inlineStr">
        <is>
          <t>SNCF Voyageurs - train emissions per km (France)</t>
        </is>
      </c>
    </row>
    <row r="28">
      <c r="A28" s="16" t="inlineStr">
        <is>
          <t>International Council on Clean Transportation (ICCT) - aviation</t>
        </is>
      </c>
    </row>
    <row r="29">
      <c r="A29" s="16" t="inlineStr">
        <is>
          <t>UK Government DBEIS - car emissions &amp; conversion factors</t>
        </is>
      </c>
    </row>
    <row r="30">
      <c r="A30" s="16" t="inlineStr">
        <is>
          <t>Our World in Data - transport carbon footprint comparison</t>
        </is>
      </c>
    </row>
  </sheetData>
  <mergeCells count="10">
    <mergeCell ref="A26:B26"/>
    <mergeCell ref="A24:B24"/>
    <mergeCell ref="A30:B30"/>
    <mergeCell ref="A29:B29"/>
    <mergeCell ref="A25:B25"/>
    <mergeCell ref="A11:B11"/>
    <mergeCell ref="A28:B28"/>
    <mergeCell ref="A23:B23"/>
    <mergeCell ref="A27:B2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2026-08-17T09:15:07Z</dcterms:created>
  <dcterms:modified xmlns:dcterms="http://purl.org/dc/terms/" xmlns:xsi="http://www.w3.org/2001/XMLSchema-instance" xsi:type="dcterms:W3CDTF">2026-08-17T09:15:07Z</dcterms:modified>
</cp:coreProperties>
</file>